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y Drive\University\Upwork\Portfolio\"/>
    </mc:Choice>
  </mc:AlternateContent>
  <xr:revisionPtr revIDLastSave="0" documentId="8_{AC416129-CB09-4258-A5BA-8551558B9B61}" xr6:coauthVersionLast="47" xr6:coauthVersionMax="47" xr10:uidLastSave="{00000000-0000-0000-0000-000000000000}"/>
  <bookViews>
    <workbookView xWindow="-98" yWindow="-98" windowWidth="21795" windowHeight="13695" xr2:uid="{85EC965F-5FE0-4F24-A191-AB06710D6588}"/>
  </bookViews>
  <sheets>
    <sheet name="bakery_products_data" sheetId="2" r:id="rId1"/>
  </sheets>
  <definedNames>
    <definedName name="ExternalData_1" localSheetId="0" hidden="1">bakery_products_data!$A$1:$E$5</definedName>
    <definedName name="ExternalData_2" localSheetId="0" hidden="1">bakery_products_data!$A$12:$B$15</definedName>
    <definedName name="solver_adj" localSheetId="0" hidden="1">bakery_products_data!$F$2:$F$5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bakery_products_data!$B$10</definedName>
    <definedName name="solver_lhs2" localSheetId="0" hidden="1">bakery_products_data!$B$8</definedName>
    <definedName name="solver_lhs3" localSheetId="0" hidden="1">bakery_products_data!$B$9</definedName>
    <definedName name="solver_lhs4" localSheetId="0" hidden="1">bakery_products_data!$F$2:$F$5</definedName>
    <definedName name="solver_lhs5" localSheetId="0" hidden="1">bakery_products_data!$F$2:$F$5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5</definedName>
    <definedName name="solver_nwt" localSheetId="0" hidden="1">1</definedName>
    <definedName name="solver_opt" localSheetId="0" hidden="1">bakery_products_data!$B$7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1</definedName>
    <definedName name="solver_rel3" localSheetId="0" hidden="1">1</definedName>
    <definedName name="solver_rel4" localSheetId="0" hidden="1">4</definedName>
    <definedName name="solver_rel5" localSheetId="0" hidden="1">3</definedName>
    <definedName name="solver_rhs1" localSheetId="0" hidden="1">bakery_products_data!$B$15</definedName>
    <definedName name="solver_rhs2" localSheetId="0" hidden="1">bakery_products_data!$B$13</definedName>
    <definedName name="solver_rhs3" localSheetId="0" hidden="1">bakery_products_data!$B$14</definedName>
    <definedName name="solver_rhs4" localSheetId="0" hidden="1">"integer"</definedName>
    <definedName name="solver_rhs5" localSheetId="0" hidden="1">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B10" i="2"/>
  <c r="B9" i="2"/>
  <c r="B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A54BE1-93D1-4090-BB41-5DF2B19921D9}" keepAlive="1" name="Query - bakery_products_data" description="Connection to the 'bakery_products_data' query in the workbook." type="5" refreshedVersion="8" background="1" saveData="1">
    <dbPr connection="Provider=Microsoft.Mashup.OleDb.1;Data Source=$Workbook$;Location=bakery_products_data;Extended Properties=&quot;&quot;" command="SELECT * FROM [bakery_products_data]"/>
  </connection>
  <connection id="2" xr16:uid="{D1EEE3E8-67D2-4F04-95E7-C9A853FF3A38}" keepAlive="1" name="Query - bakery_resource_limits" description="Connection to the 'bakery_resource_limits' query in the workbook." type="5" refreshedVersion="8" background="1" saveData="1">
    <dbPr connection="Provider=Microsoft.Mashup.OleDb.1;Data Source=$Workbook$;Location=bakery_resource_limits;Extended Properties=&quot;&quot;" command="SELECT * FROM [bakery_resource_limits]"/>
  </connection>
</connections>
</file>

<file path=xl/sharedStrings.xml><?xml version="1.0" encoding="utf-8"?>
<sst xmlns="http://schemas.openxmlformats.org/spreadsheetml/2006/main" count="19" uniqueCount="19">
  <si>
    <t>Product</t>
  </si>
  <si>
    <t>ProfitPerBatch</t>
  </si>
  <si>
    <t>OvenHoursPerBatch</t>
  </si>
  <si>
    <t>LaborHoursPerBatch</t>
  </si>
  <si>
    <t>MaterialCostPerBatch</t>
  </si>
  <si>
    <t>Bread</t>
  </si>
  <si>
    <t>Cake</t>
  </si>
  <si>
    <t>Cookies</t>
  </si>
  <si>
    <t>Muffins</t>
  </si>
  <si>
    <t>BatchesToProduce</t>
  </si>
  <si>
    <t>Total Profit</t>
  </si>
  <si>
    <t>Total Oven Hours Used</t>
  </si>
  <si>
    <t>Total Labor Hours Used</t>
  </si>
  <si>
    <t>Total Material Cost</t>
  </si>
  <si>
    <t>Resource</t>
  </si>
  <si>
    <t>LimitValue</t>
  </si>
  <si>
    <t>OvenHoursAvailablePerDay</t>
  </si>
  <si>
    <t>LaborHoursAvailablePerDay</t>
  </si>
  <si>
    <t>MaterialBudgetPerDay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</si>
</sst>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$&quot;#,##0.00"/>
  </numFmts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168" fontId="0" fillId="0" borderId="0" xfId="0" applyNumberFormat="1"/>
    <xf numFmtId="2" fontId="1" fillId="0" borderId="0" xfId="0" applyNumberFormat="1" applyFont="1"/>
    <xf numFmtId="2" fontId="0" fillId="0" borderId="0" xfId="0" applyNumberFormat="1"/>
    <xf numFmtId="168" fontId="1" fillId="0" borderId="0" xfId="0" applyNumberFormat="1" applyFont="1" applyAlignmen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44AABE9-008B-4A7C-8E4A-FD5FBE6CD84B}" autoFormatId="16" applyNumberFormats="0" applyBorderFormats="0" applyFontFormats="0" applyPatternFormats="0" applyAlignmentFormats="0" applyWidthHeightFormats="0">
  <queryTableRefresh nextId="7" unboundColumnsRight="1">
    <queryTableFields count="6">
      <queryTableField id="1" name="Product" tableColumnId="1"/>
      <queryTableField id="2" name="ProfitPerBatch" tableColumnId="2"/>
      <queryTableField id="3" name="OvenHoursPerBatch" tableColumnId="3"/>
      <queryTableField id="4" name="LaborHoursPerBatch" tableColumnId="4"/>
      <queryTableField id="5" name="MaterialCostPerBatch" tableColumnId="5"/>
      <queryTableField id="6" dataBound="0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1EE2F029-7C7C-490E-A2B8-6DB6AD15DD34}" autoFormatId="16" applyNumberFormats="0" applyBorderFormats="0" applyFontFormats="0" applyPatternFormats="0" applyAlignmentFormats="0" applyWidthHeightFormats="0">
  <queryTableRefresh nextId="3">
    <queryTableFields count="2">
      <queryTableField id="1" name="Resource" tableColumnId="1"/>
      <queryTableField id="2" name="LimitValu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9165F2-B70F-4596-833F-F7E8648B0693}" name="bakery_products_data" displayName="bakery_products_data" ref="A1:F5" tableType="queryTable" totalsRowShown="0">
  <autoFilter ref="A1:F5" xr:uid="{209165F2-B70F-4596-833F-F7E8648B0693}"/>
  <tableColumns count="6">
    <tableColumn id="1" xr3:uid="{ABCDA4A3-227C-4900-9156-0EED02717CB0}" uniqueName="1" name="Product" queryTableFieldId="1" dataDxfId="1"/>
    <tableColumn id="2" xr3:uid="{D42E120A-A20D-433D-9EFE-E0D51E8CD4FC}" uniqueName="2" name="ProfitPerBatch" queryTableFieldId="2"/>
    <tableColumn id="3" xr3:uid="{571CCF1B-A10C-4BAE-B291-89708C744E89}" uniqueName="3" name="OvenHoursPerBatch" queryTableFieldId="3"/>
    <tableColumn id="4" xr3:uid="{DD5F7EE2-7E28-4727-BF44-E30E5F9FDA76}" uniqueName="4" name="LaborHoursPerBatch" queryTableFieldId="4"/>
    <tableColumn id="5" xr3:uid="{7D74C9A2-3471-465E-B85F-AEA29395D430}" uniqueName="5" name="MaterialCostPerBatch" queryTableFieldId="5"/>
    <tableColumn id="6" xr3:uid="{16F145D3-9C15-42E4-B4F1-37A27D63F473}" uniqueName="6" name="BatchesToProduce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3B90697-F8F9-49BD-8234-C3B2C7D0881E}" name="bakery_resource_limits" displayName="bakery_resource_limits" ref="A12:B15" tableType="queryTable" totalsRowShown="0">
  <autoFilter ref="A12:B15" xr:uid="{B3B90697-F8F9-49BD-8234-C3B2C7D0881E}"/>
  <tableColumns count="2">
    <tableColumn id="1" xr3:uid="{47BC995F-EB25-4FC6-900D-F38468869D09}" uniqueName="1" name="Resource" queryTableFieldId="1" dataDxfId="0"/>
    <tableColumn id="2" xr3:uid="{97C35643-5184-4B2C-84A6-291EF7AE8CDA}" uniqueName="2" name="LimitValue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9163C-37CF-4865-90DB-3FAFE81A8D86}">
  <dimension ref="A1:F15"/>
  <sheetViews>
    <sheetView tabSelected="1" zoomScale="91" workbookViewId="0">
      <selection activeCell="F17" sqref="F17"/>
    </sheetView>
  </sheetViews>
  <sheetFormatPr defaultRowHeight="14.25"/>
  <cols>
    <col min="1" max="1" width="22.53125" bestFit="1" customWidth="1"/>
    <col min="2" max="2" width="15.19921875" bestFit="1" customWidth="1"/>
    <col min="3" max="3" width="20" bestFit="1" customWidth="1"/>
    <col min="4" max="4" width="20.265625" bestFit="1" customWidth="1"/>
    <col min="5" max="5" width="21.3984375" bestFit="1" customWidth="1"/>
    <col min="6" max="6" width="18.597656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</row>
    <row r="2" spans="1:6">
      <c r="A2" s="1" t="s">
        <v>5</v>
      </c>
      <c r="B2">
        <v>2</v>
      </c>
      <c r="C2">
        <v>0.3</v>
      </c>
      <c r="D2">
        <v>0.2</v>
      </c>
      <c r="E2">
        <v>1</v>
      </c>
      <c r="F2">
        <v>0</v>
      </c>
    </row>
    <row r="3" spans="1:6">
      <c r="A3" s="1" t="s">
        <v>6</v>
      </c>
      <c r="B3">
        <v>4.5</v>
      </c>
      <c r="C3">
        <v>0.8</v>
      </c>
      <c r="D3">
        <v>0.5</v>
      </c>
      <c r="E3">
        <v>2.5</v>
      </c>
      <c r="F3">
        <v>0</v>
      </c>
    </row>
    <row r="4" spans="1:6">
      <c r="A4" s="1" t="s">
        <v>7</v>
      </c>
      <c r="B4">
        <v>1.5</v>
      </c>
      <c r="C4">
        <v>0.2</v>
      </c>
      <c r="D4">
        <v>0.15</v>
      </c>
      <c r="E4">
        <v>0.7</v>
      </c>
      <c r="F4">
        <v>0</v>
      </c>
    </row>
    <row r="5" spans="1:6">
      <c r="A5" s="1" t="s">
        <v>8</v>
      </c>
      <c r="B5">
        <v>2.5</v>
      </c>
      <c r="C5">
        <v>0.25</v>
      </c>
      <c r="D5">
        <v>0.2</v>
      </c>
      <c r="E5">
        <v>1.1000000000000001</v>
      </c>
      <c r="F5">
        <v>40</v>
      </c>
    </row>
    <row r="7" spans="1:6">
      <c r="A7" t="s">
        <v>10</v>
      </c>
      <c r="B7" s="2">
        <f>SUMPRODUCT(B2:B5, F2:F5)</f>
        <v>100</v>
      </c>
    </row>
    <row r="8" spans="1:6">
      <c r="A8" t="s">
        <v>11</v>
      </c>
      <c r="B8" s="4">
        <f>SUMPRODUCT(C2:C5, F2:F5)</f>
        <v>10</v>
      </c>
    </row>
    <row r="9" spans="1:6">
      <c r="A9" t="s">
        <v>12</v>
      </c>
      <c r="B9" s="3">
        <f>SUMPRODUCT(D2:D5, F2:F5)</f>
        <v>8</v>
      </c>
    </row>
    <row r="10" spans="1:6">
      <c r="A10" t="s">
        <v>13</v>
      </c>
      <c r="B10" s="5">
        <f>SUMPRODUCT(E2:E5, F2:F5)</f>
        <v>44</v>
      </c>
    </row>
    <row r="12" spans="1:6">
      <c r="A12" t="s">
        <v>14</v>
      </c>
      <c r="B12" t="s">
        <v>15</v>
      </c>
    </row>
    <row r="13" spans="1:6">
      <c r="A13" s="1" t="s">
        <v>16</v>
      </c>
      <c r="B13">
        <v>10</v>
      </c>
    </row>
    <row r="14" spans="1:6">
      <c r="A14" s="1" t="s">
        <v>17</v>
      </c>
      <c r="B14">
        <v>12</v>
      </c>
    </row>
    <row r="15" spans="1:6">
      <c r="A15" s="1" t="s">
        <v>18</v>
      </c>
      <c r="B15">
        <v>150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D35F40-99E7-4A55-A1F2-EC8478ECDE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bakery_products_data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Yaser Ahmad Al Omari</dc:creator>
  <cp:lastModifiedBy>Abdullah Yaser Ahmad Al Omari</cp:lastModifiedBy>
  <dcterms:created xsi:type="dcterms:W3CDTF">2025-12-17T20:28:17Z</dcterms:created>
  <dcterms:modified xsi:type="dcterms:W3CDTF">2025-12-17T20:56:34Z</dcterms:modified>
</cp:coreProperties>
</file>